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Queu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C0392B"/>
          <bgColor rgb="00C0392B"/>
        </patternFill>
      </fill>
    </dxf>
    <dxf>
      <fill>
        <patternFill patternType="solid">
          <fgColor rgb="00E67E22"/>
          <bgColor rgb="00E67E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Requests by Priority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4" customWidth="1" min="9" max="9"/>
    <col width="15" customWidth="1" min="10" max="10"/>
  </cols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Segment</t>
        </is>
      </c>
      <c r="D1" s="1" t="inlineStr">
        <is>
          <t>Is Bug</t>
        </is>
      </c>
      <c r="E1" s="1" t="inlineStr">
        <is>
          <t>Reach/Quarter</t>
        </is>
      </c>
      <c r="F1" s="1" t="inlineStr">
        <is>
          <t>Impact</t>
        </is>
      </c>
      <c r="G1" s="1" t="inlineStr">
        <is>
          <t>Confidence %</t>
        </is>
      </c>
      <c r="H1" s="1" t="inlineStr">
        <is>
          <t>Effort (weeks)</t>
        </is>
      </c>
      <c r="I1" s="1" t="inlineStr">
        <is>
          <t>RICE Score</t>
        </is>
      </c>
      <c r="J1" s="1" t="inlineStr">
        <is>
          <t>Priority Tier</t>
        </is>
      </c>
    </row>
    <row r="2">
      <c r="A2" t="inlineStr">
        <is>
          <t>REQ-105</t>
        </is>
      </c>
      <c r="B2" t="inlineStr">
        <is>
          <t>Sensor firmware update fails silently on reconnect</t>
        </is>
      </c>
      <c r="C2" t="inlineStr">
        <is>
          <t>enterprise</t>
        </is>
      </c>
      <c r="D2" t="inlineStr">
        <is>
          <t>Yes</t>
        </is>
      </c>
      <c r="E2" t="n">
        <v>15</v>
      </c>
      <c r="F2" t="n">
        <v>1.5</v>
      </c>
      <c r="G2" t="n">
        <v>95</v>
      </c>
      <c r="H2" t="n">
        <v>2.5</v>
      </c>
      <c r="I2">
        <f>ROUND((E2*F2*(G2/100))/H2, 2)</f>
        <v/>
      </c>
      <c r="J2" t="inlineStr">
        <is>
          <t>critical</t>
        </is>
      </c>
    </row>
    <row r="3">
      <c r="A3" t="inlineStr">
        <is>
          <t>REQ-102</t>
        </is>
      </c>
      <c r="B3" t="inlineStr">
        <is>
          <t>Dashboard fails to load for accounts with &gt;500 sensors</t>
        </is>
      </c>
      <c r="C3" t="inlineStr">
        <is>
          <t>enterprise</t>
        </is>
      </c>
      <c r="D3" t="inlineStr">
        <is>
          <t>Yes</t>
        </is>
      </c>
      <c r="E3" t="n">
        <v>8</v>
      </c>
      <c r="F3" t="n">
        <v>2</v>
      </c>
      <c r="G3" t="n">
        <v>100</v>
      </c>
      <c r="H3" t="n">
        <v>2</v>
      </c>
      <c r="I3">
        <f>ROUND((E3*F3*(G3/100))/H3, 2)</f>
        <v/>
      </c>
      <c r="J3" t="inlineStr">
        <is>
          <t>critical</t>
        </is>
      </c>
    </row>
    <row r="4">
      <c r="A4" t="inlineStr">
        <is>
          <t>REQ-107</t>
        </is>
      </c>
      <c r="B4" t="inlineStr">
        <is>
          <t>Minor typo in weekly report PDF header</t>
        </is>
      </c>
      <c r="C4" t="inlineStr">
        <is>
          <t>smb</t>
        </is>
      </c>
      <c r="D4" t="inlineStr">
        <is>
          <t>Yes</t>
        </is>
      </c>
      <c r="E4" t="n">
        <v>200</v>
      </c>
      <c r="F4" t="n">
        <v>0.25</v>
      </c>
      <c r="G4" t="n">
        <v>100</v>
      </c>
      <c r="H4" t="n">
        <v>0.1</v>
      </c>
      <c r="I4">
        <f>ROUND((E4*F4*(G4/100))/H4, 2)</f>
        <v/>
      </c>
      <c r="J4" t="inlineStr">
        <is>
          <t>high</t>
        </is>
      </c>
    </row>
    <row r="5">
      <c r="A5" t="inlineStr">
        <is>
          <t>REQ-103</t>
        </is>
      </c>
      <c r="B5" t="inlineStr">
        <is>
          <t>Add dark mode to the web dashboard</t>
        </is>
      </c>
      <c r="C5" t="inlineStr">
        <is>
          <t>smb</t>
        </is>
      </c>
      <c r="D5" t="inlineStr">
        <is>
          <t>No</t>
        </is>
      </c>
      <c r="E5" t="n">
        <v>120</v>
      </c>
      <c r="F5" t="n">
        <v>0.5</v>
      </c>
      <c r="G5" t="n">
        <v>70</v>
      </c>
      <c r="H5" t="n">
        <v>1</v>
      </c>
      <c r="I5">
        <f>ROUND((E5*F5*(G5/100))/H5, 2)</f>
        <v/>
      </c>
      <c r="J5" t="inlineStr">
        <is>
          <t>high</t>
        </is>
      </c>
    </row>
    <row r="6">
      <c r="A6" t="inlineStr">
        <is>
          <t>REQ-101</t>
        </is>
      </c>
      <c r="B6" t="inlineStr">
        <is>
          <t>Bulk-export asset locations to CSV</t>
        </is>
      </c>
      <c r="C6" t="inlineStr">
        <is>
          <t>enterprise</t>
        </is>
      </c>
      <c r="D6" t="inlineStr">
        <is>
          <t>No</t>
        </is>
      </c>
      <c r="E6" t="n">
        <v>42</v>
      </c>
      <c r="F6" t="n">
        <v>1</v>
      </c>
      <c r="G6" t="n">
        <v>90</v>
      </c>
      <c r="H6" t="n">
        <v>1.5</v>
      </c>
      <c r="I6">
        <f>ROUND((E6*F6*(G6/100))/H6, 2)</f>
        <v/>
      </c>
      <c r="J6" t="inlineStr">
        <is>
          <t>medium</t>
        </is>
      </c>
    </row>
    <row r="7">
      <c r="A7" t="inlineStr">
        <is>
          <t>REQ-104</t>
        </is>
      </c>
      <c r="B7" t="inlineStr">
        <is>
          <t>Real-time alert webhook for zone-breach events</t>
        </is>
      </c>
      <c r="C7" t="inlineStr">
        <is>
          <t>mid_market</t>
        </is>
      </c>
      <c r="D7" t="inlineStr">
        <is>
          <t>No</t>
        </is>
      </c>
      <c r="E7" t="n">
        <v>25</v>
      </c>
      <c r="F7" t="n">
        <v>2.5</v>
      </c>
      <c r="G7" t="n">
        <v>85</v>
      </c>
      <c r="H7" t="n">
        <v>3</v>
      </c>
      <c r="I7">
        <f>ROUND((E7*F7*(G7/100))/H7, 2)</f>
        <v/>
      </c>
      <c r="J7" t="inlineStr">
        <is>
          <t>medium</t>
        </is>
      </c>
    </row>
    <row r="8">
      <c r="A8" t="inlineStr">
        <is>
          <t>REQ-106</t>
        </is>
      </c>
      <c r="B8" t="inlineStr">
        <is>
          <t>Custom KPI widget builder</t>
        </is>
      </c>
      <c r="C8" t="inlineStr">
        <is>
          <t>enterprise</t>
        </is>
      </c>
      <c r="D8" t="inlineStr">
        <is>
          <t>No</t>
        </is>
      </c>
      <c r="E8" t="n">
        <v>18</v>
      </c>
      <c r="F8" t="n">
        <v>2</v>
      </c>
      <c r="G8" t="n">
        <v>60</v>
      </c>
      <c r="H8" t="n">
        <v>6</v>
      </c>
      <c r="I8">
        <f>ROUND((E8*F8*(G8/100))/H8, 2)</f>
        <v/>
      </c>
      <c r="J8" t="inlineStr">
        <is>
          <t>low</t>
        </is>
      </c>
    </row>
  </sheetData>
  <conditionalFormatting sqref="J2:J8">
    <cfRule type="cellIs" priority="1" operator="equal" dxfId="0">
      <formula>"critical"</formula>
    </cfRule>
    <cfRule type="cellIs" priority="2" operator="equal" dxfId="1">
      <formula>"high"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Priority Tier</t>
        </is>
      </c>
      <c r="B1" s="2" t="inlineStr">
        <is>
          <t>Count</t>
        </is>
      </c>
    </row>
    <row r="2">
      <c r="A2" t="inlineStr">
        <is>
          <t>critical</t>
        </is>
      </c>
      <c r="B2" t="n">
        <v>2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1</v>
      </c>
    </row>
    <row r="7">
      <c r="A7" s="2" t="inlineStr">
        <is>
          <t>Total effort (person-weeks)</t>
        </is>
      </c>
      <c r="B7" t="n">
        <v>16.1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2026-08-14T18:40:45Z</dcterms:created>
  <dcterms:modified xmlns:dcterms="http://purl.org/dc/terms/" xmlns:xsi="http://www.w3.org/2001/XMLSchema-instance" xsi:type="dcterms:W3CDTF">2026-08-14T18:40:45Z</dcterms:modified>
</cp:coreProperties>
</file>